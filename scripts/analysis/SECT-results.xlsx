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" sheetId="1" r:id="rId5"/>
    <sheet state="visible" name="trials" sheetId="2" r:id="rId6"/>
    <sheet state="visible" name="sampling" sheetId="3" r:id="rId7"/>
    <sheet state="visible" name="LoC" sheetId="4" r:id="rId8"/>
    <sheet state="visible" name="rate" sheetId="5" r:id="rId9"/>
  </sheets>
  <definedNames/>
  <calcPr/>
</workbook>
</file>

<file path=xl/sharedStrings.xml><?xml version="1.0" encoding="utf-8"?>
<sst xmlns="http://schemas.openxmlformats.org/spreadsheetml/2006/main" count="108" uniqueCount="61">
  <si>
    <t>avg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</si>
  <si>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</si>
  <si>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</si>
  <si>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</si>
  <si>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</si>
  <si>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</si>
  <si>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</si>
  <si>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</si>
  <si>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</si>
  <si>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</si>
  <si>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</si>
  <si>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</si>
  <si>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exec time</t>
  </si>
  <si>
    <t>syzkaller</t>
  </si>
  <si>
    <t>sect</t>
  </si>
  <si>
    <t>segfuzz</t>
  </si>
  <si>
    <t>snowboard</t>
  </si>
  <si>
    <t>throughput</t>
  </si>
  <si>
    <t>avg.</t>
  </si>
  <si>
    <t>stdev.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</si>
  <si>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</si>
  <si>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</si>
  <si>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</si>
  <si>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</si>
  <si>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</si>
  <si>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</si>
  <si>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</si>
  <si>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</si>
  <si>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</si>
  <si>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</si>
  <si>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CVE-2024-42111</t>
  </si>
  <si>
    <t>naïve</t>
  </si>
  <si>
    <t>sect-rw</t>
  </si>
  <si>
    <t>sect-pos</t>
  </si>
  <si>
    <t>sect-pct</t>
  </si>
  <si>
    <t>CVE-2024-44941</t>
  </si>
  <si>
    <t>CVE-2023-31083</t>
  </si>
  <si>
    <t>CVE-2024-49903</t>
  </si>
  <si>
    <t>cb2239c1</t>
  </si>
  <si>
    <t>CVE-2024-50125</t>
  </si>
  <si>
    <t>CVE-2024-57900</t>
  </si>
  <si>
    <t>3b9bc84d</t>
  </si>
  <si>
    <t>88b1afbf</t>
  </si>
  <si>
    <t>uaf in slip_open</t>
  </si>
  <si>
    <t>null-ptr-deref in jfs_ioc_trim</t>
  </si>
  <si>
    <t>sampling ratio</t>
  </si>
  <si>
    <t>Component</t>
  </si>
  <si>
    <t>LoC</t>
  </si>
  <si>
    <t>Language</t>
  </si>
  <si>
    <t>eBPF Scheduler</t>
  </si>
  <si>
    <t>C</t>
  </si>
  <si>
    <t>Instrumentation</t>
  </si>
  <si>
    <t>C++</t>
  </si>
  <si>
    <t>Fuzzing Loop</t>
  </si>
  <si>
    <t>Go, C</t>
  </si>
  <si>
    <t>Other</t>
  </si>
  <si>
    <t>Total</t>
  </si>
  <si>
    <t>Concurrency Rate</t>
  </si>
  <si>
    <t>Avg.</t>
  </si>
  <si>
    <t>Syzkaller</t>
  </si>
  <si>
    <t>SECT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</si>
</sst>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Merriweather"/>
    </font>
    <font>
      <color theme="1"/>
      <name val="Merriweather"/>
    </font>
    <font>
      <color rgb="FF000000"/>
      <name val="Merriweather"/>
    </font>
    <font>
      <color theme="1"/>
      <name val="Arial"/>
      <scheme val="minor"/>
    </font>
    <font>
      <sz val="11.0"/>
      <color theme="1"/>
      <name val="Merriweath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9" xfId="0" applyAlignment="1" applyFont="1" applyNumberForma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2" t="s">
        <v>13</v>
      </c>
      <c r="B3" s="2">
        <v>69.711</v>
      </c>
      <c r="C3" s="2">
        <v>59.09</v>
      </c>
      <c r="D3" s="2">
        <v>67.45</v>
      </c>
      <c r="E3" s="2">
        <v>109.34</v>
      </c>
      <c r="F3" s="2">
        <v>53.99</v>
      </c>
      <c r="G3" s="2">
        <v>55.92</v>
      </c>
      <c r="H3" s="2">
        <v>62.89</v>
      </c>
      <c r="I3" s="2">
        <v>69.6</v>
      </c>
      <c r="J3" s="2">
        <v>65.05</v>
      </c>
      <c r="K3" s="2">
        <v>82.1</v>
      </c>
      <c r="L3" s="2">
        <v>71.68</v>
      </c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" t="s">
        <v>14</v>
      </c>
      <c r="B4" s="2">
        <v>99.367</v>
      </c>
      <c r="C4" s="2">
        <v>78.13</v>
      </c>
      <c r="D4" s="2">
        <v>144.87</v>
      </c>
      <c r="E4" s="2">
        <v>74.93</v>
      </c>
      <c r="F4" s="2">
        <v>102.03</v>
      </c>
      <c r="G4" s="2">
        <v>110.19</v>
      </c>
      <c r="H4" s="2">
        <v>103.54</v>
      </c>
      <c r="I4" s="2">
        <v>85.81</v>
      </c>
      <c r="J4" s="2">
        <v>120.13</v>
      </c>
      <c r="K4" s="2">
        <v>93.83</v>
      </c>
      <c r="L4" s="2">
        <v>80.21</v>
      </c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2" t="s">
        <v>15</v>
      </c>
      <c r="B5" s="2">
        <v>228.016</v>
      </c>
      <c r="C5" s="2">
        <v>209.29</v>
      </c>
      <c r="D5" s="2">
        <v>263.66</v>
      </c>
      <c r="E5" s="2">
        <v>233.71</v>
      </c>
      <c r="F5" s="2">
        <v>195.95</v>
      </c>
      <c r="G5" s="2">
        <v>229.59</v>
      </c>
      <c r="H5" s="2">
        <v>243.62</v>
      </c>
      <c r="I5" s="2">
        <v>213.23</v>
      </c>
      <c r="J5" s="2">
        <v>226.85</v>
      </c>
      <c r="K5" s="2">
        <v>223.91</v>
      </c>
      <c r="L5" s="2">
        <v>240.35</v>
      </c>
      <c r="M5" s="2"/>
      <c r="N5" s="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" t="s">
        <v>16</v>
      </c>
      <c r="B6" s="2">
        <v>2496.9</v>
      </c>
      <c r="C6" s="2">
        <v>2611.0</v>
      </c>
      <c r="D6" s="2">
        <v>3759.0</v>
      </c>
      <c r="E6" s="2">
        <v>1023.0</v>
      </c>
      <c r="F6" s="2">
        <v>2211.0</v>
      </c>
      <c r="G6" s="2">
        <v>3123.0</v>
      </c>
      <c r="H6" s="2">
        <v>939.0</v>
      </c>
      <c r="I6" s="2">
        <v>3028.0</v>
      </c>
      <c r="J6" s="2">
        <v>4402.0</v>
      </c>
      <c r="K6" s="2">
        <v>1076.0</v>
      </c>
      <c r="L6" s="2">
        <v>2797.0</v>
      </c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" t="s">
        <v>17</v>
      </c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" t="s">
        <v>13</v>
      </c>
      <c r="B9" s="2">
        <v>8355546.0</v>
      </c>
      <c r="C9" s="2">
        <v>8434856.0</v>
      </c>
      <c r="D9" s="2">
        <v>8718504.0</v>
      </c>
      <c r="E9" s="2">
        <v>8269069.0</v>
      </c>
      <c r="F9" s="2">
        <v>8343814.0</v>
      </c>
      <c r="G9" s="2">
        <v>8316404.0</v>
      </c>
      <c r="H9" s="2">
        <v>8084577.0</v>
      </c>
      <c r="I9" s="2">
        <v>8468167.0</v>
      </c>
      <c r="J9" s="2">
        <v>8138679.0</v>
      </c>
      <c r="K9" s="2">
        <v>8281484.0</v>
      </c>
      <c r="L9" s="2">
        <v>8499909.0</v>
      </c>
      <c r="M9" s="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2" t="s">
        <v>14</v>
      </c>
      <c r="B10" s="2">
        <v>4367538.0</v>
      </c>
      <c r="C10" s="2">
        <v>4814727.0</v>
      </c>
      <c r="D10" s="2">
        <v>3082440.0</v>
      </c>
      <c r="E10" s="2">
        <v>4282298.0</v>
      </c>
      <c r="F10" s="2">
        <v>4552399.0</v>
      </c>
      <c r="G10" s="2">
        <v>4710893.0</v>
      </c>
      <c r="H10" s="2">
        <v>4900609.0</v>
      </c>
      <c r="I10" s="2">
        <v>4552399.0</v>
      </c>
      <c r="J10" s="2">
        <v>4446135.0</v>
      </c>
      <c r="K10" s="2">
        <v>3950997.0</v>
      </c>
      <c r="L10" s="2">
        <v>4382481.0</v>
      </c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" t="s">
        <v>15</v>
      </c>
      <c r="B11" s="2">
        <v>383852.7</v>
      </c>
      <c r="C11" s="2">
        <v>377629.0</v>
      </c>
      <c r="D11" s="2">
        <v>364070.0</v>
      </c>
      <c r="E11" s="2">
        <v>496091.0</v>
      </c>
      <c r="F11" s="2">
        <v>486738.0</v>
      </c>
      <c r="G11" s="2">
        <v>367844.0</v>
      </c>
      <c r="H11" s="2">
        <v>366979.0</v>
      </c>
      <c r="I11" s="2">
        <v>375191.0</v>
      </c>
      <c r="J11" s="2">
        <v>361665.0</v>
      </c>
      <c r="K11" s="2">
        <v>262604.0</v>
      </c>
      <c r="L11" s="5">
        <v>379716.0</v>
      </c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</cols>
  <sheetData>
    <row r="1">
      <c r="A1" s="1"/>
      <c r="B1" s="1"/>
      <c r="C1" s="2" t="s">
        <v>18</v>
      </c>
      <c r="D1" s="2" t="s">
        <v>19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6"/>
      <c r="Z1" s="6"/>
    </row>
    <row r="2">
      <c r="A2" s="2" t="s">
        <v>30</v>
      </c>
      <c r="B2" s="2" t="s">
        <v>31</v>
      </c>
      <c r="C2" s="2">
        <v>44.8</v>
      </c>
      <c r="D2" s="2">
        <v>44.90946</v>
      </c>
      <c r="E2" s="2">
        <v>22.0</v>
      </c>
      <c r="F2" s="2">
        <v>32.0</v>
      </c>
      <c r="G2" s="2">
        <v>101.0</v>
      </c>
      <c r="H2" s="2">
        <v>1.0</v>
      </c>
      <c r="I2" s="2">
        <v>65.0</v>
      </c>
      <c r="J2" s="2">
        <v>83.0</v>
      </c>
      <c r="K2" s="2">
        <v>112.0</v>
      </c>
      <c r="L2" s="2">
        <v>4.0</v>
      </c>
      <c r="M2" s="2">
        <v>105.0</v>
      </c>
      <c r="N2" s="2">
        <v>22.0</v>
      </c>
      <c r="O2" s="2">
        <v>26.0</v>
      </c>
      <c r="P2" s="2">
        <v>1.0</v>
      </c>
      <c r="Q2" s="2">
        <v>105.0</v>
      </c>
      <c r="R2" s="2">
        <v>1.0</v>
      </c>
      <c r="S2" s="2">
        <v>35.0</v>
      </c>
      <c r="T2" s="2">
        <v>32.0</v>
      </c>
      <c r="U2" s="2">
        <v>4.0</v>
      </c>
      <c r="V2" s="2">
        <v>140.0</v>
      </c>
      <c r="W2" s="2">
        <v>4.0</v>
      </c>
      <c r="X2" s="2">
        <v>1.0</v>
      </c>
      <c r="Y2" s="6"/>
      <c r="Z2" s="6"/>
    </row>
    <row r="3">
      <c r="B3" s="2" t="s">
        <v>32</v>
      </c>
      <c r="C3" s="2">
        <v>2.85</v>
      </c>
      <c r="D3" s="2">
        <v>1.620957</v>
      </c>
      <c r="E3" s="2">
        <v>2.0</v>
      </c>
      <c r="F3" s="2">
        <v>5.0</v>
      </c>
      <c r="G3" s="2">
        <v>4.0</v>
      </c>
      <c r="H3" s="2">
        <v>3.0</v>
      </c>
      <c r="I3" s="2">
        <v>2.0</v>
      </c>
      <c r="J3" s="2">
        <v>5.0</v>
      </c>
      <c r="K3" s="2">
        <v>6.0</v>
      </c>
      <c r="L3" s="2">
        <v>1.0</v>
      </c>
      <c r="M3" s="2">
        <v>2.0</v>
      </c>
      <c r="N3" s="2">
        <v>2.0</v>
      </c>
      <c r="O3" s="2">
        <v>1.0</v>
      </c>
      <c r="P3" s="2">
        <v>2.0</v>
      </c>
      <c r="Q3" s="2">
        <v>4.0</v>
      </c>
      <c r="R3" s="2">
        <v>5.0</v>
      </c>
      <c r="S3" s="2">
        <v>2.0</v>
      </c>
      <c r="T3" s="2">
        <v>1.0</v>
      </c>
      <c r="U3" s="2">
        <v>3.0</v>
      </c>
      <c r="V3" s="2">
        <v>1.0</v>
      </c>
      <c r="W3" s="2">
        <v>1.0</v>
      </c>
      <c r="X3" s="2">
        <v>5.0</v>
      </c>
      <c r="Y3" s="6"/>
      <c r="Z3" s="6"/>
    </row>
    <row r="4">
      <c r="B4" s="2" t="s">
        <v>33</v>
      </c>
      <c r="C4" s="2">
        <v>2.5</v>
      </c>
      <c r="D4" s="2">
        <v>1.857418</v>
      </c>
      <c r="E4" s="2">
        <v>4.0</v>
      </c>
      <c r="F4" s="2">
        <v>3.0</v>
      </c>
      <c r="G4" s="2">
        <v>1.0</v>
      </c>
      <c r="H4" s="2">
        <v>1.0</v>
      </c>
      <c r="I4" s="2">
        <v>7.0</v>
      </c>
      <c r="J4" s="2">
        <v>2.0</v>
      </c>
      <c r="K4" s="2">
        <v>2.0</v>
      </c>
      <c r="L4" s="2">
        <v>1.0</v>
      </c>
      <c r="M4" s="2">
        <v>1.0</v>
      </c>
      <c r="N4" s="2">
        <v>2.0</v>
      </c>
      <c r="O4" s="2">
        <v>1.0</v>
      </c>
      <c r="P4" s="2">
        <v>1.0</v>
      </c>
      <c r="Q4" s="2">
        <v>1.0</v>
      </c>
      <c r="R4" s="2">
        <v>7.0</v>
      </c>
      <c r="S4" s="2">
        <v>3.0</v>
      </c>
      <c r="T4" s="2">
        <v>2.0</v>
      </c>
      <c r="U4" s="2">
        <v>3.0</v>
      </c>
      <c r="V4" s="2">
        <v>1.0</v>
      </c>
      <c r="W4" s="2">
        <v>2.0</v>
      </c>
      <c r="X4" s="2">
        <v>5.0</v>
      </c>
      <c r="Y4" s="6"/>
      <c r="Z4" s="6"/>
    </row>
    <row r="5">
      <c r="B5" s="2" t="s">
        <v>34</v>
      </c>
      <c r="C5" s="2">
        <f>average(E5:X5)</f>
        <v>2.9</v>
      </c>
      <c r="D5" s="2"/>
      <c r="E5" s="7">
        <v>1.0</v>
      </c>
      <c r="F5" s="7">
        <v>3.0</v>
      </c>
      <c r="G5" s="7">
        <v>1.0</v>
      </c>
      <c r="H5" s="7">
        <v>3.0</v>
      </c>
      <c r="I5" s="7">
        <v>3.0</v>
      </c>
      <c r="J5" s="7">
        <v>2.0</v>
      </c>
      <c r="K5" s="7">
        <v>1.0</v>
      </c>
      <c r="L5" s="7">
        <v>3.0</v>
      </c>
      <c r="M5" s="7">
        <v>1.0</v>
      </c>
      <c r="N5" s="7">
        <v>1.0</v>
      </c>
      <c r="O5" s="7">
        <v>5.0</v>
      </c>
      <c r="P5" s="7">
        <v>1.0</v>
      </c>
      <c r="Q5" s="7">
        <v>17.0</v>
      </c>
      <c r="R5" s="7">
        <v>3.0</v>
      </c>
      <c r="S5" s="7">
        <v>4.0</v>
      </c>
      <c r="T5" s="7">
        <v>3.0</v>
      </c>
      <c r="U5" s="7">
        <v>1.0</v>
      </c>
      <c r="V5" s="7">
        <v>1.0</v>
      </c>
      <c r="W5" s="7">
        <v>1.0</v>
      </c>
      <c r="X5" s="7">
        <v>3.0</v>
      </c>
      <c r="Y5" s="6"/>
      <c r="Z5" s="6"/>
    </row>
    <row r="6">
      <c r="A6" s="2"/>
      <c r="B6" s="2"/>
      <c r="C6" s="2">
        <f>C2/average(C3:C5)</f>
        <v>16.29090909</v>
      </c>
      <c r="D6" s="2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6"/>
      <c r="Z6" s="6"/>
    </row>
    <row r="7">
      <c r="A7" s="2" t="s">
        <v>35</v>
      </c>
      <c r="B7" s="2" t="s">
        <v>31</v>
      </c>
      <c r="C7" s="2">
        <v>15.85</v>
      </c>
      <c r="D7" s="2">
        <v>17.20254</v>
      </c>
      <c r="E7" s="2">
        <v>63.0</v>
      </c>
      <c r="F7" s="2">
        <v>11.0</v>
      </c>
      <c r="G7" s="2">
        <v>41.0</v>
      </c>
      <c r="H7" s="2">
        <v>10.0</v>
      </c>
      <c r="I7" s="2">
        <v>8.0</v>
      </c>
      <c r="J7" s="2">
        <v>17.0</v>
      </c>
      <c r="K7" s="2">
        <v>54.0</v>
      </c>
      <c r="L7" s="2">
        <v>4.0</v>
      </c>
      <c r="M7" s="2">
        <v>30.0</v>
      </c>
      <c r="N7" s="2">
        <v>5.0</v>
      </c>
      <c r="O7" s="2">
        <v>3.0</v>
      </c>
      <c r="P7" s="2">
        <v>1.0</v>
      </c>
      <c r="Q7" s="2">
        <v>9.0</v>
      </c>
      <c r="R7" s="2">
        <v>12.0</v>
      </c>
      <c r="S7" s="2">
        <v>12.0</v>
      </c>
      <c r="T7" s="2">
        <v>1.0</v>
      </c>
      <c r="U7" s="2">
        <v>19.0</v>
      </c>
      <c r="V7" s="2">
        <v>6.0</v>
      </c>
      <c r="W7" s="2">
        <v>9.0</v>
      </c>
      <c r="X7" s="2">
        <v>2.0</v>
      </c>
      <c r="Y7" s="6"/>
      <c r="Z7" s="6"/>
    </row>
    <row r="8">
      <c r="B8" s="2" t="s">
        <v>32</v>
      </c>
      <c r="C8" s="2">
        <v>27.55</v>
      </c>
      <c r="D8" s="2">
        <v>15.43851</v>
      </c>
      <c r="E8" s="2">
        <v>35.0</v>
      </c>
      <c r="F8" s="2">
        <v>32.0</v>
      </c>
      <c r="G8" s="2">
        <v>30.0</v>
      </c>
      <c r="H8" s="2">
        <v>43.0</v>
      </c>
      <c r="I8" s="2">
        <v>13.0</v>
      </c>
      <c r="J8" s="2">
        <v>27.0</v>
      </c>
      <c r="K8" s="2">
        <v>6.0</v>
      </c>
      <c r="L8" s="2">
        <v>17.0</v>
      </c>
      <c r="M8" s="2">
        <v>27.0</v>
      </c>
      <c r="N8" s="2">
        <v>45.0</v>
      </c>
      <c r="O8" s="2">
        <v>37.0</v>
      </c>
      <c r="P8" s="2">
        <v>11.0</v>
      </c>
      <c r="Q8" s="2">
        <v>13.0</v>
      </c>
      <c r="R8" s="2">
        <v>67.0</v>
      </c>
      <c r="S8" s="2">
        <v>34.0</v>
      </c>
      <c r="T8" s="2">
        <v>16.0</v>
      </c>
      <c r="U8" s="2">
        <v>44.0</v>
      </c>
      <c r="V8" s="2">
        <v>12.0</v>
      </c>
      <c r="W8" s="2">
        <v>36.0</v>
      </c>
      <c r="X8" s="2">
        <v>6.0</v>
      </c>
      <c r="Y8" s="6"/>
      <c r="Z8" s="6"/>
    </row>
    <row r="9">
      <c r="B9" s="2" t="s">
        <v>33</v>
      </c>
      <c r="C9" s="2">
        <v>32.7</v>
      </c>
      <c r="D9" s="2">
        <v>21.09052</v>
      </c>
      <c r="E9" s="2">
        <v>12.0</v>
      </c>
      <c r="F9" s="2">
        <v>74.0</v>
      </c>
      <c r="G9" s="2">
        <v>37.0</v>
      </c>
      <c r="H9" s="2">
        <v>38.0</v>
      </c>
      <c r="I9" s="2">
        <v>13.0</v>
      </c>
      <c r="J9" s="2">
        <v>46.0</v>
      </c>
      <c r="K9" s="2">
        <v>22.0</v>
      </c>
      <c r="L9" s="2">
        <v>40.0</v>
      </c>
      <c r="M9" s="2">
        <v>8.0</v>
      </c>
      <c r="N9" s="2">
        <v>2.0</v>
      </c>
      <c r="O9" s="2">
        <v>61.0</v>
      </c>
      <c r="P9" s="2">
        <v>65.0</v>
      </c>
      <c r="Q9" s="2">
        <v>13.0</v>
      </c>
      <c r="R9" s="2">
        <v>37.0</v>
      </c>
      <c r="S9" s="2">
        <v>64.0</v>
      </c>
      <c r="T9" s="2">
        <v>25.0</v>
      </c>
      <c r="U9" s="2">
        <v>21.0</v>
      </c>
      <c r="V9" s="2">
        <v>49.0</v>
      </c>
      <c r="W9" s="2">
        <v>13.0</v>
      </c>
      <c r="X9" s="2">
        <v>14.0</v>
      </c>
      <c r="Y9" s="6"/>
      <c r="Z9" s="6"/>
    </row>
    <row r="10">
      <c r="B10" s="2" t="s">
        <v>34</v>
      </c>
      <c r="C10" s="2">
        <f>average(E10:X10)</f>
        <v>76.7</v>
      </c>
      <c r="D10" s="2"/>
      <c r="E10" s="7">
        <v>11.0</v>
      </c>
      <c r="F10" s="7">
        <v>130.0</v>
      </c>
      <c r="G10" s="7">
        <v>171.0</v>
      </c>
      <c r="H10" s="7">
        <v>58.0</v>
      </c>
      <c r="I10" s="7">
        <v>97.0</v>
      </c>
      <c r="J10" s="7">
        <v>93.0</v>
      </c>
      <c r="K10" s="7">
        <v>72.0</v>
      </c>
      <c r="L10" s="7">
        <v>178.0</v>
      </c>
      <c r="M10" s="7">
        <v>139.0</v>
      </c>
      <c r="N10" s="7">
        <v>17.0</v>
      </c>
      <c r="O10" s="7">
        <v>21.0</v>
      </c>
      <c r="P10" s="7">
        <v>146.0</v>
      </c>
      <c r="Q10" s="7">
        <v>50.0</v>
      </c>
      <c r="R10" s="7">
        <v>165.0</v>
      </c>
      <c r="S10" s="7">
        <v>64.0</v>
      </c>
      <c r="T10" s="7">
        <v>25.0</v>
      </c>
      <c r="U10" s="7">
        <v>21.0</v>
      </c>
      <c r="V10" s="7">
        <v>49.0</v>
      </c>
      <c r="W10" s="7">
        <v>13.0</v>
      </c>
      <c r="X10" s="7">
        <v>14.0</v>
      </c>
      <c r="Y10" s="6"/>
      <c r="Z10" s="6"/>
    </row>
    <row r="11">
      <c r="A11" s="2"/>
      <c r="B11" s="2"/>
      <c r="C11" s="2">
        <f>C7/average(C8:C10)</f>
        <v>0.3472070099</v>
      </c>
      <c r="D11" s="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6"/>
      <c r="Z11" s="6"/>
    </row>
    <row r="12">
      <c r="A12" s="2" t="s">
        <v>36</v>
      </c>
      <c r="B12" s="2" t="s">
        <v>31</v>
      </c>
      <c r="C12" s="2">
        <v>2762.95</v>
      </c>
      <c r="D12" s="2">
        <v>2995.257</v>
      </c>
      <c r="E12" s="2">
        <v>2462.0</v>
      </c>
      <c r="F12" s="2">
        <v>120.0</v>
      </c>
      <c r="G12" s="2">
        <v>13763.0</v>
      </c>
      <c r="H12" s="2">
        <v>5138.0</v>
      </c>
      <c r="I12" s="2">
        <v>3951.0</v>
      </c>
      <c r="J12" s="2">
        <v>1443.0</v>
      </c>
      <c r="K12" s="2">
        <v>3491.0</v>
      </c>
      <c r="L12" s="2">
        <v>1092.0</v>
      </c>
      <c r="M12" s="2">
        <v>392.0</v>
      </c>
      <c r="N12" s="2">
        <v>845.0</v>
      </c>
      <c r="O12" s="2">
        <v>1243.0</v>
      </c>
      <c r="P12" s="2">
        <v>797.0</v>
      </c>
      <c r="Q12" s="2">
        <v>1920.0</v>
      </c>
      <c r="R12" s="2">
        <v>1969.0</v>
      </c>
      <c r="S12" s="2">
        <v>4018.0</v>
      </c>
      <c r="T12" s="2">
        <v>400.0</v>
      </c>
      <c r="U12" s="2">
        <v>2316.0</v>
      </c>
      <c r="V12" s="2">
        <v>5704.0</v>
      </c>
      <c r="W12" s="2">
        <v>435.0</v>
      </c>
      <c r="X12" s="2">
        <v>3760.0</v>
      </c>
      <c r="Y12" s="6"/>
      <c r="Z12" s="6"/>
    </row>
    <row r="13">
      <c r="B13" s="2" t="s">
        <v>32</v>
      </c>
      <c r="C13" s="2">
        <v>30.95</v>
      </c>
      <c r="D13" s="2">
        <v>21.10326</v>
      </c>
      <c r="E13" s="2">
        <v>23.0</v>
      </c>
      <c r="F13" s="2">
        <v>30.0</v>
      </c>
      <c r="G13" s="2">
        <v>12.0</v>
      </c>
      <c r="H13" s="2">
        <v>38.0</v>
      </c>
      <c r="I13" s="2">
        <v>38.0</v>
      </c>
      <c r="J13" s="2">
        <v>6.0</v>
      </c>
      <c r="K13" s="2">
        <v>39.0</v>
      </c>
      <c r="L13" s="2">
        <v>26.0</v>
      </c>
      <c r="M13" s="2">
        <v>23.0</v>
      </c>
      <c r="N13" s="2">
        <v>4.0</v>
      </c>
      <c r="O13" s="2">
        <v>24.0</v>
      </c>
      <c r="P13" s="2">
        <v>18.0</v>
      </c>
      <c r="Q13" s="2">
        <v>33.0</v>
      </c>
      <c r="R13" s="2">
        <v>76.0</v>
      </c>
      <c r="S13" s="2">
        <v>10.0</v>
      </c>
      <c r="T13" s="2">
        <v>26.0</v>
      </c>
      <c r="U13" s="2">
        <v>35.0</v>
      </c>
      <c r="V13" s="2">
        <v>72.0</v>
      </c>
      <c r="W13" s="2">
        <v>10.0</v>
      </c>
      <c r="X13" s="2">
        <v>76.0</v>
      </c>
      <c r="Y13" s="6"/>
      <c r="Z13" s="6"/>
    </row>
    <row r="14">
      <c r="B14" s="2" t="s">
        <v>33</v>
      </c>
      <c r="C14" s="2">
        <v>34.2</v>
      </c>
      <c r="D14" s="2">
        <v>23.63387</v>
      </c>
      <c r="E14" s="2">
        <v>76.0</v>
      </c>
      <c r="F14" s="2">
        <v>31.0</v>
      </c>
      <c r="G14" s="2">
        <v>9.0</v>
      </c>
      <c r="H14" s="2">
        <v>7.0</v>
      </c>
      <c r="I14" s="2">
        <v>79.0</v>
      </c>
      <c r="J14" s="2">
        <v>31.0</v>
      </c>
      <c r="K14" s="2">
        <v>38.0</v>
      </c>
      <c r="L14" s="2">
        <v>21.0</v>
      </c>
      <c r="M14" s="2">
        <v>3.0</v>
      </c>
      <c r="N14" s="2">
        <v>4.0</v>
      </c>
      <c r="O14" s="2">
        <v>58.0</v>
      </c>
      <c r="P14" s="2">
        <v>25.0</v>
      </c>
      <c r="Q14" s="2">
        <v>25.0</v>
      </c>
      <c r="R14" s="2">
        <v>40.0</v>
      </c>
      <c r="S14" s="2">
        <v>20.0</v>
      </c>
      <c r="T14" s="2">
        <v>46.0</v>
      </c>
      <c r="U14" s="2">
        <v>3.0</v>
      </c>
      <c r="V14" s="2">
        <v>49.0</v>
      </c>
      <c r="W14" s="2">
        <v>46.0</v>
      </c>
      <c r="X14" s="2">
        <v>73.0</v>
      </c>
      <c r="Y14" s="6"/>
      <c r="Z14" s="6"/>
    </row>
    <row r="15">
      <c r="B15" s="2" t="s">
        <v>34</v>
      </c>
      <c r="C15" s="2">
        <f>average(E15:X15)</f>
        <v>200.3333333</v>
      </c>
      <c r="D15" s="2"/>
      <c r="E15" s="7">
        <v>140.0</v>
      </c>
      <c r="F15" s="7">
        <v>14.0</v>
      </c>
      <c r="G15" s="7">
        <v>37.0</v>
      </c>
      <c r="H15" s="7">
        <v>494.0</v>
      </c>
      <c r="I15" s="7">
        <v>172.0</v>
      </c>
      <c r="J15" s="7">
        <v>369.0</v>
      </c>
      <c r="K15" s="7">
        <v>20.0</v>
      </c>
      <c r="L15" s="7">
        <v>7.0</v>
      </c>
      <c r="M15" s="7">
        <v>165.0</v>
      </c>
      <c r="N15" s="7">
        <v>452.0</v>
      </c>
      <c r="O15" s="7">
        <v>239.0</v>
      </c>
      <c r="P15" s="7">
        <v>454.0</v>
      </c>
      <c r="Q15" s="7">
        <v>88.0</v>
      </c>
      <c r="R15" s="7">
        <v>32.0</v>
      </c>
      <c r="S15" s="7">
        <v>322.0</v>
      </c>
      <c r="T15" s="2"/>
      <c r="U15" s="2"/>
      <c r="V15" s="2"/>
      <c r="W15" s="2"/>
      <c r="X15" s="2"/>
      <c r="Y15" s="6"/>
      <c r="Z15" s="6"/>
    </row>
    <row r="16">
      <c r="A16" s="2"/>
      <c r="B16" s="2"/>
      <c r="C16" s="2">
        <f>C12/average(C13:C15)</f>
        <v>31.22173394</v>
      </c>
      <c r="D16" s="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2"/>
      <c r="U16" s="2"/>
      <c r="V16" s="2"/>
      <c r="W16" s="2"/>
      <c r="X16" s="2"/>
      <c r="Y16" s="6"/>
      <c r="Z16" s="6"/>
    </row>
    <row r="17">
      <c r="A17" s="2" t="s">
        <v>37</v>
      </c>
      <c r="B17" s="2" t="s">
        <v>31</v>
      </c>
      <c r="C17" s="2">
        <v>34.2</v>
      </c>
      <c r="D17" s="2">
        <v>25.25787</v>
      </c>
      <c r="E17" s="2">
        <v>18.0</v>
      </c>
      <c r="F17" s="2">
        <v>67.0</v>
      </c>
      <c r="G17" s="2">
        <v>19.0</v>
      </c>
      <c r="H17" s="2">
        <v>27.0</v>
      </c>
      <c r="I17" s="2">
        <v>21.0</v>
      </c>
      <c r="J17" s="2">
        <v>25.0</v>
      </c>
      <c r="K17" s="2">
        <v>44.0</v>
      </c>
      <c r="L17" s="2">
        <v>10.0</v>
      </c>
      <c r="M17" s="2">
        <v>10.0</v>
      </c>
      <c r="N17" s="2">
        <v>17.0</v>
      </c>
      <c r="O17" s="2">
        <v>5.0</v>
      </c>
      <c r="P17" s="2">
        <v>21.0</v>
      </c>
      <c r="Q17" s="2">
        <v>37.0</v>
      </c>
      <c r="R17" s="2">
        <v>50.0</v>
      </c>
      <c r="S17" s="2">
        <v>32.0</v>
      </c>
      <c r="T17" s="2">
        <v>53.0</v>
      </c>
      <c r="U17" s="2">
        <v>84.0</v>
      </c>
      <c r="V17" s="2">
        <v>27.0</v>
      </c>
      <c r="W17" s="2">
        <v>14.0</v>
      </c>
      <c r="X17" s="2">
        <v>103.0</v>
      </c>
      <c r="Y17" s="6"/>
      <c r="Z17" s="6"/>
    </row>
    <row r="18">
      <c r="B18" s="2" t="s">
        <v>32</v>
      </c>
      <c r="C18" s="2">
        <v>1.0</v>
      </c>
      <c r="D18" s="2">
        <v>0.0</v>
      </c>
      <c r="E18" s="2">
        <v>1.0</v>
      </c>
      <c r="F18" s="2">
        <v>1.0</v>
      </c>
      <c r="G18" s="2">
        <v>1.0</v>
      </c>
      <c r="H18" s="2">
        <v>1.0</v>
      </c>
      <c r="I18" s="2">
        <v>1.0</v>
      </c>
      <c r="J18" s="2">
        <v>1.0</v>
      </c>
      <c r="K18" s="2">
        <v>1.0</v>
      </c>
      <c r="L18" s="2">
        <v>1.0</v>
      </c>
      <c r="M18" s="2">
        <v>1.0</v>
      </c>
      <c r="N18" s="2">
        <v>1.0</v>
      </c>
      <c r="O18" s="2">
        <v>1.0</v>
      </c>
      <c r="P18" s="2">
        <v>1.0</v>
      </c>
      <c r="Q18" s="2">
        <v>1.0</v>
      </c>
      <c r="R18" s="2">
        <v>1.0</v>
      </c>
      <c r="S18" s="2">
        <v>1.0</v>
      </c>
      <c r="T18" s="2">
        <v>1.0</v>
      </c>
      <c r="U18" s="2">
        <v>1.0</v>
      </c>
      <c r="V18" s="2">
        <v>1.0</v>
      </c>
      <c r="W18" s="2">
        <v>1.0</v>
      </c>
      <c r="X18" s="2">
        <v>1.0</v>
      </c>
      <c r="Y18" s="6"/>
      <c r="Z18" s="6"/>
    </row>
    <row r="19">
      <c r="B19" s="2" t="s">
        <v>33</v>
      </c>
      <c r="C19" s="2">
        <v>1.0</v>
      </c>
      <c r="D19" s="2">
        <v>0.0</v>
      </c>
      <c r="E19" s="2">
        <v>1.0</v>
      </c>
      <c r="F19" s="2">
        <v>1.0</v>
      </c>
      <c r="G19" s="2">
        <v>1.0</v>
      </c>
      <c r="H19" s="2">
        <v>1.0</v>
      </c>
      <c r="I19" s="2">
        <v>1.0</v>
      </c>
      <c r="J19" s="2">
        <v>1.0</v>
      </c>
      <c r="K19" s="2">
        <v>1.0</v>
      </c>
      <c r="L19" s="2">
        <v>1.0</v>
      </c>
      <c r="M19" s="2">
        <v>1.0</v>
      </c>
      <c r="N19" s="2">
        <v>1.0</v>
      </c>
      <c r="O19" s="2">
        <v>1.0</v>
      </c>
      <c r="P19" s="2">
        <v>1.0</v>
      </c>
      <c r="Q19" s="2">
        <v>1.0</v>
      </c>
      <c r="R19" s="2">
        <v>1.0</v>
      </c>
      <c r="S19" s="2">
        <v>1.0</v>
      </c>
      <c r="T19" s="2">
        <v>1.0</v>
      </c>
      <c r="U19" s="2">
        <v>1.0</v>
      </c>
      <c r="V19" s="2">
        <v>1.0</v>
      </c>
      <c r="W19" s="2">
        <v>1.0</v>
      </c>
      <c r="X19" s="2">
        <v>1.0</v>
      </c>
      <c r="Y19" s="6"/>
      <c r="Z19" s="6"/>
    </row>
    <row r="20">
      <c r="B20" s="2" t="s">
        <v>34</v>
      </c>
      <c r="C20" s="2">
        <f>average(E20:X20)</f>
        <v>1</v>
      </c>
      <c r="D20" s="2"/>
      <c r="E20" s="7">
        <v>1.0</v>
      </c>
      <c r="F20" s="7">
        <v>1.0</v>
      </c>
      <c r="G20" s="7">
        <v>1.0</v>
      </c>
      <c r="H20" s="7">
        <v>1.0</v>
      </c>
      <c r="I20" s="7">
        <v>1.0</v>
      </c>
      <c r="J20" s="7">
        <v>1.0</v>
      </c>
      <c r="K20" s="7">
        <v>1.0</v>
      </c>
      <c r="L20" s="7">
        <v>1.0</v>
      </c>
      <c r="M20" s="7">
        <v>1.0</v>
      </c>
      <c r="N20" s="7">
        <v>1.0</v>
      </c>
      <c r="O20" s="7">
        <v>1.0</v>
      </c>
      <c r="P20" s="7">
        <v>1.0</v>
      </c>
      <c r="Q20" s="7">
        <v>1.0</v>
      </c>
      <c r="R20" s="7">
        <v>1.0</v>
      </c>
      <c r="S20" s="7">
        <v>1.0</v>
      </c>
      <c r="T20" s="7">
        <v>1.0</v>
      </c>
      <c r="U20" s="7">
        <v>1.0</v>
      </c>
      <c r="V20" s="7">
        <v>1.0</v>
      </c>
      <c r="W20" s="7">
        <v>1.0</v>
      </c>
      <c r="X20" s="2">
        <v>1.0</v>
      </c>
      <c r="Y20" s="6"/>
      <c r="Z20" s="6"/>
    </row>
    <row r="21">
      <c r="A21" s="2"/>
      <c r="B21" s="2"/>
      <c r="C21" s="2">
        <f>C17/average(C18:C20)</f>
        <v>34.2</v>
      </c>
      <c r="D21" s="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2"/>
      <c r="Y21" s="6"/>
      <c r="Z21" s="6"/>
    </row>
    <row r="22">
      <c r="A22" s="2" t="s">
        <v>38</v>
      </c>
      <c r="B22" s="2" t="s">
        <v>31</v>
      </c>
      <c r="C22" s="2">
        <v>593.2</v>
      </c>
      <c r="D22" s="2">
        <v>1129.068</v>
      </c>
      <c r="E22" s="2">
        <v>301.0</v>
      </c>
      <c r="F22" s="2">
        <v>198.0</v>
      </c>
      <c r="G22" s="2">
        <v>117.0</v>
      </c>
      <c r="H22" s="2">
        <v>92.0</v>
      </c>
      <c r="I22" s="2">
        <v>138.0</v>
      </c>
      <c r="J22" s="2">
        <v>180.0</v>
      </c>
      <c r="K22" s="2">
        <v>169.0</v>
      </c>
      <c r="L22" s="2">
        <v>307.0</v>
      </c>
      <c r="M22" s="2">
        <v>250.0</v>
      </c>
      <c r="N22" s="2">
        <v>670.0</v>
      </c>
      <c r="O22" s="2">
        <v>977.0</v>
      </c>
      <c r="P22" s="2">
        <v>421.0</v>
      </c>
      <c r="Q22" s="2">
        <v>315.0</v>
      </c>
      <c r="R22" s="2">
        <v>81.0</v>
      </c>
      <c r="S22" s="2">
        <v>123.0</v>
      </c>
      <c r="T22" s="2">
        <v>675.0</v>
      </c>
      <c r="U22" s="2">
        <v>84.0</v>
      </c>
      <c r="V22" s="2">
        <v>1233.0</v>
      </c>
      <c r="W22" s="2">
        <v>5331.0</v>
      </c>
      <c r="X22" s="2">
        <v>202.0</v>
      </c>
      <c r="Y22" s="6"/>
      <c r="Z22" s="6"/>
    </row>
    <row r="23">
      <c r="B23" s="2" t="s">
        <v>32</v>
      </c>
      <c r="C23" s="2">
        <v>38.3</v>
      </c>
      <c r="D23" s="2">
        <v>27.77067</v>
      </c>
      <c r="E23" s="2">
        <v>55.0</v>
      </c>
      <c r="F23" s="2">
        <v>24.0</v>
      </c>
      <c r="G23" s="2">
        <v>13.0</v>
      </c>
      <c r="H23" s="2">
        <v>45.0</v>
      </c>
      <c r="I23" s="2">
        <v>38.0</v>
      </c>
      <c r="J23" s="2">
        <v>27.0</v>
      </c>
      <c r="K23" s="2">
        <v>6.0</v>
      </c>
      <c r="L23" s="2">
        <v>68.0</v>
      </c>
      <c r="M23" s="2">
        <v>1.0</v>
      </c>
      <c r="N23" s="2">
        <v>11.0</v>
      </c>
      <c r="O23" s="2">
        <v>22.0</v>
      </c>
      <c r="P23" s="2">
        <v>77.0</v>
      </c>
      <c r="Q23" s="2">
        <v>21.0</v>
      </c>
      <c r="R23" s="2">
        <v>4.0</v>
      </c>
      <c r="S23" s="2">
        <v>87.0</v>
      </c>
      <c r="T23" s="2">
        <v>54.0</v>
      </c>
      <c r="U23" s="2">
        <v>32.0</v>
      </c>
      <c r="V23" s="2">
        <v>66.0</v>
      </c>
      <c r="W23" s="2">
        <v>94.0</v>
      </c>
      <c r="X23" s="2">
        <v>21.0</v>
      </c>
      <c r="Y23" s="6"/>
      <c r="Z23" s="6"/>
    </row>
    <row r="24">
      <c r="B24" s="2" t="s">
        <v>33</v>
      </c>
      <c r="C24" s="2">
        <v>36.25</v>
      </c>
      <c r="D24" s="2">
        <v>24.10161</v>
      </c>
      <c r="E24" s="2">
        <v>62.0</v>
      </c>
      <c r="F24" s="2">
        <v>27.0</v>
      </c>
      <c r="G24" s="2">
        <v>38.0</v>
      </c>
      <c r="H24" s="2">
        <v>37.0</v>
      </c>
      <c r="I24" s="2">
        <v>89.0</v>
      </c>
      <c r="J24" s="2">
        <v>18.0</v>
      </c>
      <c r="K24" s="2">
        <v>40.0</v>
      </c>
      <c r="L24" s="2">
        <v>23.0</v>
      </c>
      <c r="M24" s="2">
        <v>45.0</v>
      </c>
      <c r="N24" s="2">
        <v>1.0</v>
      </c>
      <c r="O24" s="2">
        <v>37.0</v>
      </c>
      <c r="P24" s="2">
        <v>30.0</v>
      </c>
      <c r="Q24" s="2">
        <v>4.0</v>
      </c>
      <c r="R24" s="2">
        <v>35.0</v>
      </c>
      <c r="S24" s="2">
        <v>101.0</v>
      </c>
      <c r="T24" s="2">
        <v>30.0</v>
      </c>
      <c r="U24" s="2">
        <v>26.0</v>
      </c>
      <c r="V24" s="2">
        <v>47.0</v>
      </c>
      <c r="W24" s="2">
        <v>16.0</v>
      </c>
      <c r="X24" s="2">
        <v>19.0</v>
      </c>
      <c r="Y24" s="6"/>
      <c r="Z24" s="6"/>
    </row>
    <row r="25">
      <c r="B25" s="2" t="s">
        <v>34</v>
      </c>
      <c r="C25" s="2">
        <f>average(E25:X25)</f>
        <v>247.2</v>
      </c>
      <c r="D25" s="2"/>
      <c r="E25" s="2">
        <v>235.0</v>
      </c>
      <c r="F25" s="2">
        <v>2.0</v>
      </c>
      <c r="G25" s="2">
        <v>6.0</v>
      </c>
      <c r="H25" s="2">
        <v>62.0</v>
      </c>
      <c r="I25" s="2">
        <v>823.0</v>
      </c>
      <c r="J25" s="2">
        <v>7.0</v>
      </c>
      <c r="K25" s="2">
        <v>1.0</v>
      </c>
      <c r="L25" s="2">
        <v>214.0</v>
      </c>
      <c r="M25" s="2">
        <v>457.0</v>
      </c>
      <c r="N25" s="2">
        <v>355.0</v>
      </c>
      <c r="O25" s="2">
        <v>736.0</v>
      </c>
      <c r="P25" s="2">
        <v>415.0</v>
      </c>
      <c r="Q25" s="2">
        <v>28.0</v>
      </c>
      <c r="R25" s="2">
        <v>43.0</v>
      </c>
      <c r="S25" s="2">
        <v>299.0</v>
      </c>
      <c r="T25" s="2">
        <v>2.0</v>
      </c>
      <c r="U25" s="2">
        <v>163.0</v>
      </c>
      <c r="V25" s="2">
        <v>610.0</v>
      </c>
      <c r="W25" s="2">
        <v>384.0</v>
      </c>
      <c r="X25" s="2">
        <v>102.0</v>
      </c>
      <c r="Y25" s="6"/>
      <c r="Z25" s="6"/>
    </row>
    <row r="26">
      <c r="A26" s="2"/>
      <c r="B26" s="2"/>
      <c r="C26" s="2">
        <f>C22/average(C23:C25)</f>
        <v>5.531002331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6"/>
      <c r="Z26" s="6"/>
    </row>
    <row r="27">
      <c r="A27" s="2" t="s">
        <v>39</v>
      </c>
      <c r="B27" s="2" t="s">
        <v>31</v>
      </c>
      <c r="C27" s="2">
        <v>556.75</v>
      </c>
      <c r="D27" s="2">
        <v>36.6427</v>
      </c>
      <c r="E27" s="2">
        <v>594.0</v>
      </c>
      <c r="F27" s="2">
        <v>580.0</v>
      </c>
      <c r="G27" s="2">
        <v>633.0</v>
      </c>
      <c r="H27" s="2">
        <v>556.0</v>
      </c>
      <c r="I27" s="2">
        <v>595.0</v>
      </c>
      <c r="J27" s="2">
        <v>543.0</v>
      </c>
      <c r="K27" s="2">
        <v>582.0</v>
      </c>
      <c r="L27" s="2">
        <v>540.0</v>
      </c>
      <c r="M27" s="2">
        <v>520.0</v>
      </c>
      <c r="N27" s="2">
        <v>523.0</v>
      </c>
      <c r="O27" s="2">
        <v>556.0</v>
      </c>
      <c r="P27" s="2">
        <v>534.0</v>
      </c>
      <c r="Q27" s="2">
        <v>557.0</v>
      </c>
      <c r="R27" s="2">
        <v>581.0</v>
      </c>
      <c r="S27" s="2">
        <v>598.0</v>
      </c>
      <c r="T27" s="2">
        <v>588.0</v>
      </c>
      <c r="U27" s="2">
        <v>540.0</v>
      </c>
      <c r="V27" s="2">
        <v>469.0</v>
      </c>
      <c r="W27" s="2">
        <v>525.0</v>
      </c>
      <c r="X27" s="2">
        <v>521.0</v>
      </c>
      <c r="Y27" s="6"/>
      <c r="Z27" s="6"/>
    </row>
    <row r="28">
      <c r="B28" s="2" t="s">
        <v>32</v>
      </c>
      <c r="C28" s="2">
        <v>398.55</v>
      </c>
      <c r="D28" s="2">
        <v>210.1653</v>
      </c>
      <c r="E28" s="2">
        <v>502.0</v>
      </c>
      <c r="F28" s="2">
        <v>40.0</v>
      </c>
      <c r="G28" s="2">
        <v>497.0</v>
      </c>
      <c r="H28" s="2">
        <v>520.0</v>
      </c>
      <c r="I28" s="2">
        <v>493.0</v>
      </c>
      <c r="J28" s="2">
        <v>65.0</v>
      </c>
      <c r="K28" s="2">
        <v>485.0</v>
      </c>
      <c r="L28" s="2">
        <v>378.0</v>
      </c>
      <c r="M28" s="2">
        <v>63.0</v>
      </c>
      <c r="N28" s="2">
        <v>503.0</v>
      </c>
      <c r="O28" s="2">
        <v>55.0</v>
      </c>
      <c r="P28" s="2">
        <v>19.0</v>
      </c>
      <c r="Q28" s="2">
        <v>528.0</v>
      </c>
      <c r="R28" s="2">
        <v>651.0</v>
      </c>
      <c r="S28" s="2">
        <v>478.0</v>
      </c>
      <c r="T28" s="2">
        <v>493.0</v>
      </c>
      <c r="U28" s="2">
        <v>488.0</v>
      </c>
      <c r="V28" s="2">
        <v>532.0</v>
      </c>
      <c r="W28" s="2">
        <v>664.0</v>
      </c>
      <c r="X28" s="2">
        <v>517.0</v>
      </c>
      <c r="Y28" s="6"/>
      <c r="Z28" s="6"/>
    </row>
    <row r="29">
      <c r="B29" s="2" t="s">
        <v>33</v>
      </c>
      <c r="C29" s="2">
        <v>416.3</v>
      </c>
      <c r="D29" s="2">
        <v>199.7706</v>
      </c>
      <c r="E29" s="2">
        <v>542.0</v>
      </c>
      <c r="F29" s="2">
        <v>572.0</v>
      </c>
      <c r="G29" s="2">
        <v>492.0</v>
      </c>
      <c r="H29" s="2">
        <v>42.0</v>
      </c>
      <c r="I29" s="2">
        <v>491.0</v>
      </c>
      <c r="J29" s="2">
        <v>45.0</v>
      </c>
      <c r="K29" s="2">
        <v>558.0</v>
      </c>
      <c r="L29" s="2">
        <v>504.0</v>
      </c>
      <c r="M29" s="2">
        <v>523.0</v>
      </c>
      <c r="N29" s="2">
        <v>429.0</v>
      </c>
      <c r="O29" s="2">
        <v>545.0</v>
      </c>
      <c r="P29" s="2">
        <v>523.0</v>
      </c>
      <c r="Q29" s="2">
        <v>189.0</v>
      </c>
      <c r="R29" s="2">
        <v>578.0</v>
      </c>
      <c r="S29" s="2">
        <v>533.0</v>
      </c>
      <c r="T29" s="2">
        <v>504.0</v>
      </c>
      <c r="U29" s="2">
        <v>554.0</v>
      </c>
      <c r="V29" s="2">
        <v>54.0</v>
      </c>
      <c r="W29" s="2">
        <v>584.0</v>
      </c>
      <c r="X29" s="2">
        <v>64.0</v>
      </c>
      <c r="Y29" s="6"/>
      <c r="Z29" s="6"/>
    </row>
    <row r="30">
      <c r="B30" s="2" t="s">
        <v>34</v>
      </c>
      <c r="C30" s="2">
        <f>average(E30:X30)</f>
        <v>513.3157895</v>
      </c>
      <c r="D30" s="2"/>
      <c r="E30" s="2">
        <v>489.0</v>
      </c>
      <c r="F30" s="2">
        <v>963.0</v>
      </c>
      <c r="G30" s="2">
        <v>560.0</v>
      </c>
      <c r="H30" s="2">
        <v>512.0</v>
      </c>
      <c r="I30" s="2">
        <v>42.0</v>
      </c>
      <c r="J30" s="2">
        <v>719.0</v>
      </c>
      <c r="K30" s="2">
        <v>518.0</v>
      </c>
      <c r="L30" s="2">
        <v>410.0</v>
      </c>
      <c r="M30" s="2">
        <v>530.0</v>
      </c>
      <c r="N30" s="2">
        <v>62.0</v>
      </c>
      <c r="O30" s="2">
        <v>873.0</v>
      </c>
      <c r="P30" s="2">
        <v>527.0</v>
      </c>
      <c r="Q30" s="2">
        <v>611.0</v>
      </c>
      <c r="R30" s="2">
        <v>769.0</v>
      </c>
      <c r="S30" s="2">
        <v>399.0</v>
      </c>
      <c r="T30" s="2">
        <v>500.0</v>
      </c>
      <c r="U30" s="2">
        <v>664.0</v>
      </c>
      <c r="V30" s="2">
        <v>58.0</v>
      </c>
      <c r="W30" s="2">
        <v>547.0</v>
      </c>
      <c r="X30" s="2"/>
      <c r="Y30" s="6"/>
      <c r="Z30" s="6"/>
    </row>
    <row r="31">
      <c r="A31" s="2"/>
      <c r="B31" s="2"/>
      <c r="C31" s="2">
        <f>C27/average(C28:C30)</f>
        <v>1.257561378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6"/>
      <c r="Z31" s="6"/>
    </row>
    <row r="32">
      <c r="A32" s="2" t="s">
        <v>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6"/>
      <c r="Z32" s="6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6"/>
      <c r="Z33" s="6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6"/>
      <c r="Z34" s="6"/>
    </row>
    <row r="35">
      <c r="A35" s="2">
        <v>6.1179292E7</v>
      </c>
      <c r="B35" s="2" t="s">
        <v>31</v>
      </c>
      <c r="C35" s="2">
        <v>70.5</v>
      </c>
      <c r="D35" s="2">
        <v>56.66172</v>
      </c>
      <c r="E35" s="2">
        <v>77.0</v>
      </c>
      <c r="F35" s="2">
        <v>136.0</v>
      </c>
      <c r="G35" s="2">
        <v>21.0</v>
      </c>
      <c r="H35" s="2">
        <v>196.0</v>
      </c>
      <c r="I35" s="2">
        <v>112.0</v>
      </c>
      <c r="J35" s="2">
        <v>9.0</v>
      </c>
      <c r="K35" s="2">
        <v>25.0</v>
      </c>
      <c r="L35" s="2">
        <v>21.0</v>
      </c>
      <c r="M35" s="2">
        <v>133.0</v>
      </c>
      <c r="N35" s="2">
        <v>41.0</v>
      </c>
      <c r="O35" s="2">
        <v>92.0</v>
      </c>
      <c r="P35" s="2">
        <v>26.0</v>
      </c>
      <c r="Q35" s="2">
        <v>108.0</v>
      </c>
      <c r="R35" s="2">
        <v>138.0</v>
      </c>
      <c r="S35" s="2">
        <v>9.0</v>
      </c>
      <c r="T35" s="2">
        <v>33.0</v>
      </c>
      <c r="U35" s="2">
        <v>154.0</v>
      </c>
      <c r="V35" s="2">
        <v>33.0</v>
      </c>
      <c r="W35" s="2">
        <v>37.0</v>
      </c>
      <c r="X35" s="2">
        <v>9.0</v>
      </c>
      <c r="Y35" s="6"/>
      <c r="Z35" s="6"/>
    </row>
    <row r="36">
      <c r="B36" s="2" t="s">
        <v>32</v>
      </c>
      <c r="C36" s="2">
        <v>43.5</v>
      </c>
      <c r="D36" s="2">
        <v>28.88166</v>
      </c>
      <c r="E36" s="2">
        <v>14.0</v>
      </c>
      <c r="F36" s="2">
        <v>91.0</v>
      </c>
      <c r="G36" s="2">
        <v>12.0</v>
      </c>
      <c r="H36" s="2">
        <v>50.0</v>
      </c>
      <c r="I36" s="2">
        <v>12.0</v>
      </c>
      <c r="J36" s="2">
        <v>90.0</v>
      </c>
      <c r="K36" s="2">
        <v>66.0</v>
      </c>
      <c r="L36" s="2">
        <v>26.0</v>
      </c>
      <c r="M36" s="2">
        <v>9.0</v>
      </c>
      <c r="N36" s="2">
        <v>38.0</v>
      </c>
      <c r="O36" s="2">
        <v>34.0</v>
      </c>
      <c r="P36" s="2">
        <v>9.0</v>
      </c>
      <c r="Q36" s="2">
        <v>79.0</v>
      </c>
      <c r="R36" s="2">
        <v>22.0</v>
      </c>
      <c r="S36" s="2">
        <v>12.0</v>
      </c>
      <c r="T36" s="2">
        <v>86.0</v>
      </c>
      <c r="U36" s="2">
        <v>42.0</v>
      </c>
      <c r="V36" s="2">
        <v>50.0</v>
      </c>
      <c r="W36" s="2">
        <v>82.0</v>
      </c>
      <c r="X36" s="2">
        <v>46.0</v>
      </c>
      <c r="Y36" s="6"/>
      <c r="Z36" s="6"/>
    </row>
    <row r="37">
      <c r="B37" s="2" t="s">
        <v>33</v>
      </c>
      <c r="C37" s="2">
        <v>44.9</v>
      </c>
      <c r="D37" s="2">
        <v>24.30823</v>
      </c>
      <c r="E37" s="2">
        <v>28.0</v>
      </c>
      <c r="F37" s="2">
        <v>23.0</v>
      </c>
      <c r="G37" s="2">
        <v>78.0</v>
      </c>
      <c r="H37" s="2">
        <v>74.0</v>
      </c>
      <c r="I37" s="2">
        <v>45.0</v>
      </c>
      <c r="J37" s="2">
        <v>78.0</v>
      </c>
      <c r="K37" s="2">
        <v>28.0</v>
      </c>
      <c r="L37" s="2">
        <v>30.0</v>
      </c>
      <c r="M37" s="2">
        <v>66.0</v>
      </c>
      <c r="N37" s="2">
        <v>65.0</v>
      </c>
      <c r="O37" s="2">
        <v>32.0</v>
      </c>
      <c r="P37" s="2">
        <v>7.0</v>
      </c>
      <c r="Q37" s="2">
        <v>32.0</v>
      </c>
      <c r="R37" s="2">
        <v>87.0</v>
      </c>
      <c r="S37" s="2">
        <v>3.0</v>
      </c>
      <c r="T37" s="2">
        <v>66.0</v>
      </c>
      <c r="U37" s="2">
        <v>57.0</v>
      </c>
      <c r="V37" s="2">
        <v>21.0</v>
      </c>
      <c r="W37" s="2">
        <v>47.0</v>
      </c>
      <c r="X37" s="2">
        <v>31.0</v>
      </c>
      <c r="Y37" s="6"/>
      <c r="Z37" s="6"/>
    </row>
    <row r="38">
      <c r="B38" s="2" t="s">
        <v>34</v>
      </c>
      <c r="C38" s="2">
        <f>average(E38:X38)</f>
        <v>39.75</v>
      </c>
      <c r="D38" s="2"/>
      <c r="E38" s="2">
        <v>21.0</v>
      </c>
      <c r="F38" s="2">
        <v>7.0</v>
      </c>
      <c r="G38" s="2">
        <v>35.0</v>
      </c>
      <c r="H38" s="2">
        <v>3.0</v>
      </c>
      <c r="I38" s="2">
        <v>106.0</v>
      </c>
      <c r="J38" s="2">
        <v>43.0</v>
      </c>
      <c r="K38" s="2">
        <v>41.0</v>
      </c>
      <c r="L38" s="2">
        <v>24.0</v>
      </c>
      <c r="M38" s="2">
        <v>74.0</v>
      </c>
      <c r="N38" s="2">
        <v>19.0</v>
      </c>
      <c r="O38" s="2">
        <v>63.0</v>
      </c>
      <c r="P38" s="2">
        <v>9.0</v>
      </c>
      <c r="Q38" s="2">
        <v>98.0</v>
      </c>
      <c r="R38" s="2">
        <v>12.0</v>
      </c>
      <c r="S38" s="2">
        <v>22.0</v>
      </c>
      <c r="T38" s="2">
        <v>103.0</v>
      </c>
      <c r="U38" s="2">
        <v>16.0</v>
      </c>
      <c r="V38" s="2">
        <v>51.0</v>
      </c>
      <c r="W38" s="2">
        <v>40.0</v>
      </c>
      <c r="X38" s="2">
        <v>8.0</v>
      </c>
      <c r="Y38" s="6"/>
      <c r="Z38" s="6"/>
    </row>
    <row r="39">
      <c r="A39" s="2"/>
      <c r="B39" s="2"/>
      <c r="C39" s="2">
        <f>C35/average(C36:C38)</f>
        <v>1.650409676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6"/>
      <c r="Z39" s="6"/>
    </row>
    <row r="40">
      <c r="A40" s="2" t="s">
        <v>41</v>
      </c>
      <c r="B40" s="2" t="s">
        <v>31</v>
      </c>
      <c r="C40" s="2">
        <v>5.05</v>
      </c>
      <c r="D40" s="2">
        <v>2.854383</v>
      </c>
      <c r="E40" s="2">
        <v>3.0</v>
      </c>
      <c r="F40" s="2">
        <v>4.0</v>
      </c>
      <c r="G40" s="2">
        <v>7.0</v>
      </c>
      <c r="H40" s="2">
        <v>10.0</v>
      </c>
      <c r="I40" s="2">
        <v>7.0</v>
      </c>
      <c r="J40" s="2">
        <v>4.0</v>
      </c>
      <c r="K40" s="2">
        <v>5.0</v>
      </c>
      <c r="L40" s="2">
        <v>7.0</v>
      </c>
      <c r="M40" s="2">
        <v>7.0</v>
      </c>
      <c r="N40" s="2">
        <v>7.0</v>
      </c>
      <c r="O40" s="2">
        <v>3.0</v>
      </c>
      <c r="P40" s="2">
        <v>2.0</v>
      </c>
      <c r="Q40" s="2">
        <v>1.0</v>
      </c>
      <c r="R40" s="2">
        <v>3.0</v>
      </c>
      <c r="S40" s="2">
        <v>2.0</v>
      </c>
      <c r="T40" s="2">
        <v>7.0</v>
      </c>
      <c r="U40" s="2">
        <v>4.0</v>
      </c>
      <c r="V40" s="2">
        <v>12.0</v>
      </c>
      <c r="W40" s="2">
        <v>1.0</v>
      </c>
      <c r="X40" s="2">
        <v>5.0</v>
      </c>
      <c r="Y40" s="6"/>
      <c r="Z40" s="6"/>
    </row>
    <row r="41">
      <c r="B41" s="2" t="s">
        <v>32</v>
      </c>
      <c r="C41" s="2">
        <v>5.25</v>
      </c>
      <c r="D41" s="2">
        <v>5.223744</v>
      </c>
      <c r="E41" s="2">
        <v>10.0</v>
      </c>
      <c r="F41" s="2">
        <v>4.0</v>
      </c>
      <c r="G41" s="2">
        <v>1.0</v>
      </c>
      <c r="H41" s="2">
        <v>4.0</v>
      </c>
      <c r="I41" s="2">
        <v>6.0</v>
      </c>
      <c r="J41" s="2">
        <v>5.0</v>
      </c>
      <c r="K41" s="2">
        <v>7.0</v>
      </c>
      <c r="L41" s="2">
        <v>1.0</v>
      </c>
      <c r="M41" s="2">
        <v>19.0</v>
      </c>
      <c r="N41" s="2">
        <v>1.0</v>
      </c>
      <c r="O41" s="2">
        <v>1.0</v>
      </c>
      <c r="P41" s="2">
        <v>3.0</v>
      </c>
      <c r="Q41" s="2">
        <v>7.0</v>
      </c>
      <c r="R41" s="2">
        <v>4.0</v>
      </c>
      <c r="S41" s="2">
        <v>1.0</v>
      </c>
      <c r="T41" s="2">
        <v>1.0</v>
      </c>
      <c r="U41" s="2">
        <v>6.0</v>
      </c>
      <c r="V41" s="2">
        <v>19.0</v>
      </c>
      <c r="W41" s="2">
        <v>1.0</v>
      </c>
      <c r="X41" s="2">
        <v>4.0</v>
      </c>
      <c r="Y41" s="6"/>
      <c r="Z41" s="6"/>
    </row>
    <row r="42">
      <c r="B42" s="2" t="s">
        <v>33</v>
      </c>
      <c r="C42" s="2">
        <v>5.2</v>
      </c>
      <c r="D42" s="2">
        <v>4.422669</v>
      </c>
      <c r="E42" s="2">
        <v>1.0</v>
      </c>
      <c r="F42" s="2">
        <v>8.0</v>
      </c>
      <c r="G42" s="2">
        <v>19.0</v>
      </c>
      <c r="H42" s="2">
        <v>3.0</v>
      </c>
      <c r="I42" s="2">
        <v>8.0</v>
      </c>
      <c r="J42" s="2">
        <v>5.0</v>
      </c>
      <c r="K42" s="2">
        <v>1.0</v>
      </c>
      <c r="L42" s="2">
        <v>1.0</v>
      </c>
      <c r="M42" s="2">
        <v>3.0</v>
      </c>
      <c r="N42" s="2">
        <v>11.0</v>
      </c>
      <c r="O42" s="2">
        <v>1.0</v>
      </c>
      <c r="P42" s="2">
        <v>1.0</v>
      </c>
      <c r="Q42" s="2">
        <v>4.0</v>
      </c>
      <c r="R42" s="2">
        <v>10.0</v>
      </c>
      <c r="S42" s="2">
        <v>5.0</v>
      </c>
      <c r="T42" s="2">
        <v>2.0</v>
      </c>
      <c r="U42" s="2">
        <v>5.0</v>
      </c>
      <c r="V42" s="2">
        <v>2.0</v>
      </c>
      <c r="W42" s="2">
        <v>8.0</v>
      </c>
      <c r="X42" s="2">
        <v>6.0</v>
      </c>
      <c r="Y42" s="6"/>
      <c r="Z42" s="6"/>
    </row>
    <row r="43">
      <c r="B43" s="2" t="s">
        <v>34</v>
      </c>
      <c r="C43" s="2">
        <f>average(E43:X43)</f>
        <v>3.6</v>
      </c>
      <c r="D43" s="2"/>
      <c r="E43" s="2">
        <v>3.0</v>
      </c>
      <c r="F43" s="2">
        <v>2.0</v>
      </c>
      <c r="G43" s="2">
        <v>2.0</v>
      </c>
      <c r="H43" s="2">
        <v>2.0</v>
      </c>
      <c r="I43" s="2">
        <v>2.0</v>
      </c>
      <c r="J43" s="2">
        <v>3.0</v>
      </c>
      <c r="K43" s="2">
        <v>3.0</v>
      </c>
      <c r="L43" s="2">
        <v>6.0</v>
      </c>
      <c r="M43" s="2">
        <v>1.0</v>
      </c>
      <c r="N43" s="2">
        <v>8.0</v>
      </c>
      <c r="O43" s="2">
        <v>4.0</v>
      </c>
      <c r="P43" s="2">
        <v>5.0</v>
      </c>
      <c r="Q43" s="2">
        <v>5.0</v>
      </c>
      <c r="R43" s="2">
        <v>8.0</v>
      </c>
      <c r="S43" s="2">
        <v>3.0</v>
      </c>
      <c r="T43" s="2">
        <v>3.0</v>
      </c>
      <c r="U43" s="2">
        <v>4.0</v>
      </c>
      <c r="V43" s="2">
        <v>2.0</v>
      </c>
      <c r="W43" s="2">
        <v>3.0</v>
      </c>
      <c r="X43" s="2">
        <v>3.0</v>
      </c>
      <c r="Y43" s="6"/>
      <c r="Z43" s="6"/>
    </row>
    <row r="44">
      <c r="A44" s="2"/>
      <c r="B44" s="2"/>
      <c r="C44" s="2">
        <f>C40/average(C41:C43)</f>
        <v>1.078291815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6"/>
      <c r="Z44" s="6"/>
    </row>
    <row r="45">
      <c r="A45" s="2" t="s">
        <v>42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6"/>
      <c r="Z45" s="6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6"/>
      <c r="Z46" s="6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6"/>
      <c r="Z47" s="6"/>
    </row>
    <row r="48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6"/>
      <c r="Z48" s="6"/>
    </row>
    <row r="49">
      <c r="A49" s="2" t="s">
        <v>43</v>
      </c>
      <c r="B49" s="2" t="s">
        <v>31</v>
      </c>
      <c r="C49" s="2">
        <v>12021.55</v>
      </c>
      <c r="D49" s="2">
        <v>6212.694</v>
      </c>
      <c r="E49" s="2">
        <v>3034.0</v>
      </c>
      <c r="F49" s="2">
        <v>3194.0</v>
      </c>
      <c r="G49" s="2">
        <v>14865.0</v>
      </c>
      <c r="H49" s="2">
        <v>11068.0</v>
      </c>
      <c r="I49" s="2">
        <v>19706.0</v>
      </c>
      <c r="J49" s="2">
        <v>19767.0</v>
      </c>
      <c r="K49" s="2">
        <v>11866.0</v>
      </c>
      <c r="L49" s="2">
        <v>10001.0</v>
      </c>
      <c r="M49" s="2">
        <v>13202.0</v>
      </c>
      <c r="N49" s="2">
        <v>5628.0</v>
      </c>
      <c r="O49" s="2">
        <v>22335.0</v>
      </c>
      <c r="P49" s="2">
        <v>5861.0</v>
      </c>
      <c r="Q49" s="2">
        <v>22518.0</v>
      </c>
      <c r="R49" s="2">
        <v>16496.0</v>
      </c>
      <c r="S49" s="2">
        <v>14514.0</v>
      </c>
      <c r="T49" s="2">
        <v>14336.0</v>
      </c>
      <c r="U49" s="2">
        <v>15555.0</v>
      </c>
      <c r="V49" s="2">
        <v>3145.0</v>
      </c>
      <c r="W49" s="2">
        <v>5222.0</v>
      </c>
      <c r="X49" s="2">
        <v>8118.0</v>
      </c>
      <c r="Y49" s="6"/>
      <c r="Z49" s="6"/>
    </row>
    <row r="50">
      <c r="B50" s="2" t="s">
        <v>32</v>
      </c>
      <c r="C50" s="2">
        <v>1148.45</v>
      </c>
      <c r="D50" s="2">
        <v>1119.877</v>
      </c>
      <c r="E50" s="2">
        <v>1740.0</v>
      </c>
      <c r="F50" s="2">
        <v>224.0</v>
      </c>
      <c r="G50" s="2">
        <v>1404.0</v>
      </c>
      <c r="H50" s="2">
        <v>493.0</v>
      </c>
      <c r="I50" s="2">
        <v>1684.0</v>
      </c>
      <c r="J50" s="2">
        <v>386.0</v>
      </c>
      <c r="K50" s="2">
        <v>326.0</v>
      </c>
      <c r="L50" s="2">
        <v>294.0</v>
      </c>
      <c r="M50" s="2">
        <v>1462.0</v>
      </c>
      <c r="N50" s="2">
        <v>441.0</v>
      </c>
      <c r="O50" s="2">
        <v>102.0</v>
      </c>
      <c r="P50" s="2">
        <v>1566.0</v>
      </c>
      <c r="Q50" s="2">
        <v>7.0</v>
      </c>
      <c r="R50" s="2">
        <v>2087.0</v>
      </c>
      <c r="S50" s="2">
        <v>429.0</v>
      </c>
      <c r="T50" s="2">
        <v>768.0</v>
      </c>
      <c r="U50" s="2">
        <v>1867.0</v>
      </c>
      <c r="V50" s="2">
        <v>277.0</v>
      </c>
      <c r="W50" s="2">
        <v>4715.0</v>
      </c>
      <c r="X50" s="2">
        <v>2697.0</v>
      </c>
      <c r="Y50" s="6"/>
      <c r="Z50" s="6"/>
    </row>
    <row r="51">
      <c r="B51" s="2" t="s">
        <v>33</v>
      </c>
      <c r="C51" s="2">
        <v>1020.95</v>
      </c>
      <c r="D51" s="2">
        <v>638.1571</v>
      </c>
      <c r="E51" s="2">
        <v>299.0</v>
      </c>
      <c r="F51" s="2">
        <v>210.0</v>
      </c>
      <c r="G51" s="2">
        <v>943.0</v>
      </c>
      <c r="H51" s="2">
        <v>2742.0</v>
      </c>
      <c r="I51" s="2">
        <v>335.0</v>
      </c>
      <c r="J51" s="2">
        <v>70.0</v>
      </c>
      <c r="K51" s="2">
        <v>1391.0</v>
      </c>
      <c r="L51" s="2">
        <v>1496.0</v>
      </c>
      <c r="M51" s="2">
        <v>1377.0</v>
      </c>
      <c r="N51" s="2">
        <v>1864.0</v>
      </c>
      <c r="O51" s="2">
        <v>614.0</v>
      </c>
      <c r="P51" s="2">
        <v>1024.0</v>
      </c>
      <c r="Q51" s="2">
        <v>1348.0</v>
      </c>
      <c r="R51" s="2">
        <v>1448.0</v>
      </c>
      <c r="S51" s="2">
        <v>1042.0</v>
      </c>
      <c r="T51" s="2">
        <v>919.0</v>
      </c>
      <c r="U51" s="2">
        <v>940.0</v>
      </c>
      <c r="V51" s="2">
        <v>1244.0</v>
      </c>
      <c r="W51" s="2">
        <v>1041.0</v>
      </c>
      <c r="X51" s="2">
        <v>72.0</v>
      </c>
      <c r="Y51" s="6"/>
      <c r="Z51" s="6"/>
    </row>
    <row r="52">
      <c r="B52" s="2" t="s">
        <v>34</v>
      </c>
      <c r="C52" s="2">
        <f>average(E52:X52)</f>
        <v>920.6</v>
      </c>
      <c r="D52" s="2"/>
      <c r="E52" s="2">
        <v>174.0</v>
      </c>
      <c r="F52" s="2">
        <v>72.0</v>
      </c>
      <c r="G52" s="2">
        <v>853.0</v>
      </c>
      <c r="H52" s="2">
        <v>356.0</v>
      </c>
      <c r="I52" s="2">
        <v>998.0</v>
      </c>
      <c r="J52" s="2">
        <v>1813.0</v>
      </c>
      <c r="K52" s="2">
        <v>55.0</v>
      </c>
      <c r="L52" s="2">
        <v>98.0</v>
      </c>
      <c r="M52" s="2">
        <v>2423.0</v>
      </c>
      <c r="N52" s="2">
        <v>142.0</v>
      </c>
      <c r="O52" s="2">
        <v>1668.0</v>
      </c>
      <c r="P52" s="2">
        <v>1741.0</v>
      </c>
      <c r="Q52" s="2">
        <v>2081.0</v>
      </c>
      <c r="R52" s="2">
        <v>222.0</v>
      </c>
      <c r="S52" s="2">
        <v>372.0</v>
      </c>
      <c r="T52" s="2">
        <v>2193.0</v>
      </c>
      <c r="U52" s="2">
        <v>2461.0</v>
      </c>
      <c r="V52" s="2">
        <v>134.0</v>
      </c>
      <c r="W52" s="2">
        <v>114.0</v>
      </c>
      <c r="X52" s="2">
        <v>442.0</v>
      </c>
      <c r="Y52" s="6"/>
      <c r="Z52" s="6"/>
    </row>
    <row r="53">
      <c r="A53" s="2" t="s">
        <v>44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6"/>
      <c r="Z53" s="6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6"/>
      <c r="Z54" s="6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>
        <f>average(C6,C11,C16,C21,C26,C31,C39,C44)</f>
        <v>11.44713941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</sheetData>
  <mergeCells count="12">
    <mergeCell ref="A35:A38"/>
    <mergeCell ref="A40:A43"/>
    <mergeCell ref="A45:A47"/>
    <mergeCell ref="A49:A52"/>
    <mergeCell ref="A53:A55"/>
    <mergeCell ref="A2:A5"/>
    <mergeCell ref="A7:A10"/>
    <mergeCell ref="A12:A15"/>
    <mergeCell ref="A17:A20"/>
    <mergeCell ref="A22:A25"/>
    <mergeCell ref="A27:A30"/>
    <mergeCell ref="A32:A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5.38"/>
  </cols>
  <sheetData>
    <row r="1">
      <c r="A1" s="8" t="s">
        <v>45</v>
      </c>
      <c r="B1" s="8" t="s">
        <v>18</v>
      </c>
      <c r="C1" s="9"/>
      <c r="D1" s="9"/>
      <c r="E1" s="9"/>
      <c r="F1" s="9"/>
      <c r="G1" s="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">
        <v>0.1</v>
      </c>
      <c r="B2" s="2">
        <v>1020.95</v>
      </c>
      <c r="C2" s="9"/>
      <c r="D2" s="9"/>
      <c r="E2" s="9"/>
      <c r="F2" s="9"/>
      <c r="G2" s="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9">
        <f>AVERAGE(C3:G3)</f>
        <v>302.6478</v>
      </c>
      <c r="C3" s="8">
        <v>412.03</v>
      </c>
      <c r="D3" s="8">
        <v>256.43</v>
      </c>
      <c r="E3" s="8">
        <v>279.5</v>
      </c>
      <c r="F3" s="8">
        <v>248.57</v>
      </c>
      <c r="G3" s="8">
        <v>316.709</v>
      </c>
      <c r="H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>
        <v>0.3</v>
      </c>
      <c r="B4" s="9"/>
      <c r="C4" s="8">
        <v>31.0</v>
      </c>
      <c r="D4" s="8"/>
      <c r="E4" s="8"/>
      <c r="F4" s="8"/>
      <c r="G4" s="8"/>
      <c r="H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/>
      <c r="B5" s="9">
        <f t="shared" ref="B5:B7" si="1">AVERAGE(C5:G5)</f>
        <v>570.2958</v>
      </c>
      <c r="C5" s="8">
        <v>580.9</v>
      </c>
      <c r="D5" s="8">
        <v>808.68</v>
      </c>
      <c r="E5" s="8">
        <v>319.54</v>
      </c>
      <c r="F5" s="8">
        <v>402.62</v>
      </c>
      <c r="G5" s="8">
        <v>739.739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>
        <v>0.5</v>
      </c>
      <c r="B6" s="9">
        <f t="shared" si="1"/>
        <v>422.8</v>
      </c>
      <c r="C6" s="8">
        <v>794.0</v>
      </c>
      <c r="D6" s="8">
        <v>109.0</v>
      </c>
      <c r="E6" s="8">
        <v>125.0</v>
      </c>
      <c r="F6" s="8">
        <v>639.0</v>
      </c>
      <c r="G6" s="8">
        <v>447.0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/>
      <c r="B7" s="9">
        <f t="shared" si="1"/>
        <v>7145.206</v>
      </c>
      <c r="C7" s="8">
        <v>8469.98</v>
      </c>
      <c r="D7" s="8">
        <v>515.67</v>
      </c>
      <c r="E7" s="8">
        <v>10045.85</v>
      </c>
      <c r="F7" s="8">
        <v>4267.3</v>
      </c>
      <c r="G7" s="8">
        <v>12427.23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/>
      <c r="B8" s="9"/>
      <c r="C8" s="9"/>
      <c r="D8" s="9"/>
      <c r="E8" s="9"/>
      <c r="F8" s="9"/>
      <c r="G8" s="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/>
      <c r="B9" s="9"/>
      <c r="C9" s="9"/>
      <c r="D9" s="9"/>
      <c r="E9" s="9"/>
      <c r="F9" s="9"/>
      <c r="G9" s="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/>
      <c r="B10" s="9"/>
      <c r="C10" s="9"/>
      <c r="D10" s="9"/>
      <c r="E10" s="9"/>
      <c r="F10" s="9"/>
      <c r="G10" s="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46</v>
      </c>
      <c r="B1" s="11" t="s">
        <v>47</v>
      </c>
      <c r="C1" s="11" t="s">
        <v>48</v>
      </c>
    </row>
    <row r="2">
      <c r="A2" s="11" t="s">
        <v>49</v>
      </c>
      <c r="B2" s="11">
        <v>741.0</v>
      </c>
      <c r="C2" s="11" t="s">
        <v>50</v>
      </c>
    </row>
    <row r="3">
      <c r="A3" s="11" t="s">
        <v>51</v>
      </c>
      <c r="B3" s="11">
        <v>409.0</v>
      </c>
      <c r="C3" s="11" t="s">
        <v>52</v>
      </c>
    </row>
    <row r="4">
      <c r="A4" s="11" t="s">
        <v>53</v>
      </c>
      <c r="B4" s="11">
        <v>358.0</v>
      </c>
      <c r="C4" s="11" t="s">
        <v>54</v>
      </c>
    </row>
    <row r="5">
      <c r="A5" s="11" t="s">
        <v>55</v>
      </c>
      <c r="B5" s="12">
        <f>11+27+73</f>
        <v>111</v>
      </c>
      <c r="C5" s="11" t="s">
        <v>50</v>
      </c>
    </row>
    <row r="6">
      <c r="A6" s="11" t="s">
        <v>56</v>
      </c>
      <c r="B6" s="12">
        <f>SUM(B2:B5)</f>
        <v>1619</v>
      </c>
      <c r="C6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3" t="s">
        <v>57</v>
      </c>
      <c r="B1" s="13" t="s">
        <v>58</v>
      </c>
      <c r="C1" s="14"/>
      <c r="D1" s="14"/>
      <c r="E1" s="14"/>
      <c r="F1" s="14"/>
      <c r="G1" s="14"/>
      <c r="H1" s="14"/>
      <c r="I1" s="14"/>
      <c r="J1" s="14"/>
    </row>
    <row r="2">
      <c r="A2" s="13" t="s">
        <v>59</v>
      </c>
      <c r="B2" s="14"/>
      <c r="C2" s="14"/>
      <c r="D2" s="14"/>
      <c r="E2" s="14"/>
      <c r="F2" s="14"/>
      <c r="G2" s="14"/>
      <c r="H2" s="14"/>
      <c r="I2" s="14"/>
      <c r="J2" s="14"/>
    </row>
    <row r="3">
      <c r="A3" s="13" t="s">
        <v>60</v>
      </c>
      <c r="B3" s="14">
        <f>AVERAGE(C3:S3)</f>
        <v>25.64352941</v>
      </c>
      <c r="C3" s="13">
        <v>25.34</v>
      </c>
      <c r="D3" s="13">
        <v>26.77</v>
      </c>
      <c r="E3" s="13">
        <v>26.27</v>
      </c>
      <c r="F3" s="13">
        <v>26.16</v>
      </c>
      <c r="G3" s="13">
        <v>24.5</v>
      </c>
      <c r="H3" s="13">
        <v>25.47</v>
      </c>
      <c r="I3" s="13">
        <v>24.82</v>
      </c>
      <c r="J3" s="13">
        <v>25.49</v>
      </c>
      <c r="K3" s="13">
        <v>26.67</v>
      </c>
      <c r="L3" s="13">
        <v>26.42</v>
      </c>
      <c r="M3" s="13">
        <v>26.07</v>
      </c>
      <c r="N3" s="13">
        <v>26.73</v>
      </c>
      <c r="O3" s="13">
        <v>25.33</v>
      </c>
      <c r="P3" s="13">
        <v>25.37</v>
      </c>
      <c r="Q3" s="13">
        <v>23.62</v>
      </c>
      <c r="R3" s="13">
        <v>24.77</v>
      </c>
      <c r="S3" s="13">
        <v>26.14</v>
      </c>
      <c r="T3" s="14"/>
    </row>
  </sheetData>
  <drawing r:id="rId1"/>
</worksheet>
</file>